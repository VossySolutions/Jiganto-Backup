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e00c2680331475/14 Edenhouse/Templates/"/>
    </mc:Choice>
  </mc:AlternateContent>
  <xr:revisionPtr revIDLastSave="50" documentId="8_{1FC8165B-368C-4663-B85E-55A037EF93A8}" xr6:coauthVersionLast="45" xr6:coauthVersionMax="45" xr10:uidLastSave="{AD7F579C-B0F2-A944-8AE9-8EB911D2AC23}"/>
  <bookViews>
    <workbookView xWindow="0" yWindow="460" windowWidth="51200" windowHeight="27240" xr2:uid="{F9B11C6A-C99B-4E00-AFEB-2AE2097004F6}"/>
  </bookViews>
  <sheets>
    <sheet name="Project Status Report Template" sheetId="1" r:id="rId1"/>
  </sheets>
  <externalReferences>
    <externalReference r:id="rId2"/>
    <externalReference r:id="rId3"/>
    <externalReference r:id="rId4"/>
    <externalReference r:id="rId5"/>
  </externalReferences>
  <definedNames>
    <definedName name="Actual">(PeriodInActual*(#REF!&gt;0))*PeriodInPlan</definedName>
    <definedName name="ActualBeyond">PeriodInActual*(#REF!&gt;0)</definedName>
    <definedName name="Analysis">'[1]Look Up Values'!$C$2:$C$7</definedName>
    <definedName name="Ca">#REF!</definedName>
    <definedName name="Cash_beginning">#REF!</definedName>
    <definedName name="Cash_minimum">#REF!</definedName>
    <definedName name="Company_name">#REF!</definedName>
    <definedName name="Grades">[2]BillingRates!#REF!</definedName>
    <definedName name="Impact">[3]Data!$C$1:$D$6</definedName>
    <definedName name="ImpactScale">'[4]Status Options'!$F$1:$F$5</definedName>
    <definedName name="Likelihood">[3]Data!$E$1:$F$6</definedName>
    <definedName name="Month">'[4]Status Options'!$C$1:$C$12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_xlnm.Print_Area" localSheetId="0">'Project Status Report Template'!$B$1:$J$34</definedName>
    <definedName name="ProbScale">'[4]Status Options'!$E$1:$E$5</definedName>
    <definedName name="Start_date">#REF!</definedName>
    <definedName name="Status">[3]Data!$A$1:$B$6</definedName>
    <definedName name="Subject">'[1]Look Up Values'!$B$2:$B$22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1" i="1" l="1"/>
  <c r="J31" i="1" l="1"/>
  <c r="D33" i="1"/>
  <c r="E33" i="1" s="1"/>
  <c r="F33" i="1" s="1"/>
  <c r="G33" i="1" s="1"/>
  <c r="H33" i="1" s="1"/>
  <c r="I33" i="1" s="1"/>
  <c r="J33" i="1" s="1"/>
  <c r="I18" i="1"/>
  <c r="I17" i="1"/>
  <c r="I16" i="1"/>
  <c r="I15" i="1"/>
  <c r="I14" i="1"/>
</calcChain>
</file>

<file path=xl/sharedStrings.xml><?xml version="1.0" encoding="utf-8"?>
<sst xmlns="http://schemas.openxmlformats.org/spreadsheetml/2006/main" count="135" uniqueCount="71">
  <si>
    <t>Project Name</t>
  </si>
  <si>
    <t>PM Name</t>
  </si>
  <si>
    <t>W/C:</t>
  </si>
  <si>
    <t>PRID</t>
  </si>
  <si>
    <t>TBC</t>
  </si>
  <si>
    <t>Portfolio:</t>
  </si>
  <si>
    <t xml:space="preserve">Milestones </t>
  </si>
  <si>
    <t>Close</t>
  </si>
  <si>
    <t>Forecast Date</t>
  </si>
  <si>
    <t>Actual Date</t>
  </si>
  <si>
    <t>Draft</t>
  </si>
  <si>
    <t>This  Week’s
Overall RAG</t>
  </si>
  <si>
    <t>This Week’s RAG
by Type</t>
  </si>
  <si>
    <t>RAG Type</t>
  </si>
  <si>
    <t>Last Week’s RAG
by Type</t>
  </si>
  <si>
    <t>Last Week’s
Overall RAG</t>
  </si>
  <si>
    <t>Achievements Planned for Next Period</t>
  </si>
  <si>
    <t>A</t>
  </si>
  <si>
    <t>R</t>
  </si>
  <si>
    <t>Budget</t>
  </si>
  <si>
    <t>G</t>
  </si>
  <si>
    <t>1. aaa</t>
  </si>
  <si>
    <t>Resource</t>
  </si>
  <si>
    <t>2. aaa</t>
  </si>
  <si>
    <t>Schedule</t>
  </si>
  <si>
    <t>3. aaa</t>
  </si>
  <si>
    <t>Quality</t>
  </si>
  <si>
    <t>4. aaa</t>
  </si>
  <si>
    <t>Grey</t>
  </si>
  <si>
    <t>Project Summary / RAG Commentary</t>
  </si>
  <si>
    <t xml:space="preserve">Last Gate Passed: </t>
  </si>
  <si>
    <t xml:space="preserve">Date passed: </t>
  </si>
  <si>
    <t xml:space="preserve">Next Gate(s): </t>
  </si>
  <si>
    <t xml:space="preserve">Date Scheduled: </t>
  </si>
  <si>
    <t>•  Scope …</t>
  </si>
  <si>
    <t>n/a</t>
  </si>
  <si>
    <t>•  Budget …</t>
  </si>
  <si>
    <t>•  Resources …</t>
  </si>
  <si>
    <t>•  Schedule …</t>
  </si>
  <si>
    <t>•  Quality …</t>
  </si>
  <si>
    <t xml:space="preserve">  Close</t>
  </si>
  <si>
    <t>Achievements this Period</t>
  </si>
  <si>
    <t>ID, Risk / Issue</t>
  </si>
  <si>
    <t>Owner</t>
  </si>
  <si>
    <t>RAG</t>
  </si>
  <si>
    <t>•  ….</t>
  </si>
  <si>
    <t xml:space="preserve">• I: </t>
  </si>
  <si>
    <t xml:space="preserve">• R: </t>
  </si>
  <si>
    <t xml:space="preserve">•  </t>
  </si>
  <si>
    <t>Achievements Planned but not achieved this Period</t>
  </si>
  <si>
    <t>Financial Summary</t>
  </si>
  <si>
    <t xml:space="preserve">Baseline Budget (A) </t>
  </si>
  <si>
    <t>Cost To Date (B)</t>
  </si>
  <si>
    <t>Cost to Complete (C)</t>
  </si>
  <si>
    <t>Forecast Total Cost</t>
  </si>
  <si>
    <t>Variance to Baseline</t>
  </si>
  <si>
    <t>Reporting Period</t>
  </si>
  <si>
    <t>Overall RAG</t>
  </si>
  <si>
    <t>??</t>
  </si>
  <si>
    <t>S/4 Hana</t>
  </si>
  <si>
    <t>C/4 Hana</t>
  </si>
  <si>
    <t>Success Factors</t>
  </si>
  <si>
    <t>Project X</t>
  </si>
  <si>
    <t>Peter Voss</t>
  </si>
  <si>
    <t>Discover</t>
  </si>
  <si>
    <t>Prepare</t>
  </si>
  <si>
    <t>Explore</t>
  </si>
  <si>
    <t>Realise</t>
  </si>
  <si>
    <t>Deploy</t>
  </si>
  <si>
    <t>Run</t>
  </si>
  <si>
    <t>Service 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</si>
</sst>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rgb="FFC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0000"/>
      <name val="Arial"/>
      <family val="2"/>
    </font>
    <font>
      <sz val="8"/>
      <color theme="9" tint="0.7999816888943144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BDFE8"/>
        <bgColor indexed="64"/>
      </patternFill>
    </fill>
    <fill>
      <patternFill patternType="solid">
        <fgColor rgb="FFE7F0F4"/>
        <bgColor indexed="64"/>
      </patternFill>
    </fill>
    <fill>
      <patternFill patternType="solid">
        <fgColor rgb="FFBFBFBF"/>
        <bgColor indexed="64"/>
      </patternFill>
    </fill>
  </fills>
  <borders count="1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ck">
        <color theme="1"/>
      </bottom>
      <diagonal/>
    </border>
    <border>
      <left style="medium">
        <color theme="0"/>
      </left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ck">
        <color theme="1"/>
      </top>
      <bottom style="thin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16" fontId="5" fillId="4" borderId="4" xfId="0" applyNumberFormat="1" applyFont="1" applyFill="1" applyBorder="1" applyAlignment="1">
      <alignment horizontal="center" vertical="center"/>
    </xf>
    <xf numFmtId="16" fontId="6" fillId="5" borderId="4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0" fontId="7" fillId="6" borderId="2" xfId="0" applyFont="1" applyFill="1" applyBorder="1" applyAlignment="1">
      <alignment horizontal="center" vertical="center" wrapText="1" readingOrder="1"/>
    </xf>
    <xf numFmtId="0" fontId="7" fillId="7" borderId="2" xfId="0" applyFont="1" applyFill="1" applyBorder="1" applyAlignment="1">
      <alignment horizontal="center" vertical="center" wrapText="1" readingOrder="1"/>
    </xf>
    <xf numFmtId="0" fontId="8" fillId="8" borderId="2" xfId="0" applyFont="1" applyFill="1" applyBorder="1" applyAlignment="1">
      <alignment horizontal="left" vertical="center" wrapText="1" readingOrder="1"/>
    </xf>
    <xf numFmtId="0" fontId="8" fillId="8" borderId="2" xfId="0" applyFont="1" applyFill="1" applyBorder="1" applyAlignment="1">
      <alignment horizontal="center" vertical="center" wrapText="1" readingOrder="1"/>
    </xf>
    <xf numFmtId="0" fontId="10" fillId="6" borderId="2" xfId="0" applyFont="1" applyFill="1" applyBorder="1" applyAlignment="1">
      <alignment vertical="center" wrapText="1"/>
    </xf>
    <xf numFmtId="16" fontId="9" fillId="6" borderId="2" xfId="0" applyNumberFormat="1" applyFont="1" applyFill="1" applyBorder="1" applyAlignment="1">
      <alignment horizontal="center" vertical="center" wrapText="1"/>
    </xf>
    <xf numFmtId="16" fontId="9" fillId="6" borderId="2" xfId="0" applyNumberFormat="1" applyFont="1" applyFill="1" applyBorder="1" applyAlignment="1">
      <alignment horizontal="left" vertical="center" wrapText="1" indent="1"/>
    </xf>
    <xf numFmtId="0" fontId="8" fillId="8" borderId="5" xfId="0" applyFont="1" applyFill="1" applyBorder="1" applyAlignment="1">
      <alignment vertical="center" wrapText="1" readingOrder="1"/>
    </xf>
    <xf numFmtId="0" fontId="8" fillId="8" borderId="6" xfId="0" applyFont="1" applyFill="1" applyBorder="1" applyAlignment="1">
      <alignment vertical="center" wrapText="1" readingOrder="1"/>
    </xf>
    <xf numFmtId="0" fontId="8" fillId="8" borderId="7" xfId="0" applyFont="1" applyFill="1" applyBorder="1" applyAlignment="1">
      <alignment horizontal="center" vertical="center" wrapText="1" readingOrder="1"/>
    </xf>
    <xf numFmtId="0" fontId="9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right" vertical="center" wrapText="1" readingOrder="1"/>
    </xf>
    <xf numFmtId="165" fontId="9" fillId="7" borderId="2" xfId="1" applyNumberFormat="1" applyFont="1" applyFill="1" applyBorder="1" applyAlignment="1">
      <alignment horizontal="center" vertical="center" wrapText="1"/>
    </xf>
    <xf numFmtId="165" fontId="12" fillId="7" borderId="2" xfId="1" applyNumberFormat="1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center"/>
    </xf>
    <xf numFmtId="16" fontId="5" fillId="3" borderId="13" xfId="0" applyNumberFormat="1" applyFont="1" applyFill="1" applyBorder="1" applyAlignment="1">
      <alignment horizontal="center" vertical="center"/>
    </xf>
    <xf numFmtId="0" fontId="4" fillId="0" borderId="0" xfId="0" applyFont="1"/>
    <xf numFmtId="0" fontId="3" fillId="3" borderId="0" xfId="0" applyFont="1" applyFill="1" applyAlignment="1">
      <alignment horizontal="left" vertical="center" indent="1"/>
    </xf>
    <xf numFmtId="16" fontId="3" fillId="3" borderId="0" xfId="0" applyNumberFormat="1" applyFont="1" applyFill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 wrapText="1" indent="1" readingOrder="1"/>
    </xf>
    <xf numFmtId="0" fontId="9" fillId="3" borderId="6" xfId="0" applyFont="1" applyFill="1" applyBorder="1" applyAlignment="1">
      <alignment horizontal="left" vertical="center" wrapText="1" indent="1" readingOrder="1"/>
    </xf>
    <xf numFmtId="0" fontId="9" fillId="3" borderId="7" xfId="0" applyFont="1" applyFill="1" applyBorder="1" applyAlignment="1">
      <alignment horizontal="left" vertical="center" wrapText="1" indent="1" readingOrder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8" fillId="8" borderId="5" xfId="0" applyFont="1" applyFill="1" applyBorder="1" applyAlignment="1">
      <alignment horizontal="left" vertical="center" wrapText="1" indent="1" readingOrder="1"/>
    </xf>
    <xf numFmtId="0" fontId="8" fillId="8" borderId="6" xfId="0" applyFont="1" applyFill="1" applyBorder="1" applyAlignment="1">
      <alignment horizontal="left" vertical="center" wrapText="1" indent="1" readingOrder="1"/>
    </xf>
    <xf numFmtId="0" fontId="8" fillId="8" borderId="7" xfId="0" applyFont="1" applyFill="1" applyBorder="1" applyAlignment="1">
      <alignment horizontal="left" vertical="center" wrapText="1" indent="1" readingOrder="1"/>
    </xf>
    <xf numFmtId="0" fontId="8" fillId="8" borderId="5" xfId="0" applyFont="1" applyFill="1" applyBorder="1" applyAlignment="1">
      <alignment horizontal="center" vertical="center" wrapText="1" readingOrder="1"/>
    </xf>
    <xf numFmtId="0" fontId="8" fillId="8" borderId="6" xfId="0" applyFont="1" applyFill="1" applyBorder="1" applyAlignment="1">
      <alignment horizontal="center" vertical="center" wrapText="1" readingOrder="1"/>
    </xf>
    <xf numFmtId="0" fontId="9" fillId="6" borderId="5" xfId="0" applyFont="1" applyFill="1" applyBorder="1" applyAlignment="1">
      <alignment horizontal="left" vertical="center" wrapText="1"/>
    </xf>
    <xf numFmtId="0" fontId="9" fillId="6" borderId="6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left" vertical="center" wrapText="1"/>
    </xf>
    <xf numFmtId="0" fontId="11" fillId="8" borderId="5" xfId="0" applyFont="1" applyFill="1" applyBorder="1" applyAlignment="1">
      <alignment horizontal="center" vertical="center" wrapText="1" readingOrder="1"/>
    </xf>
    <xf numFmtId="0" fontId="11" fillId="8" borderId="6" xfId="0" applyFont="1" applyFill="1" applyBorder="1" applyAlignment="1">
      <alignment horizontal="center" vertical="center" wrapText="1" readingOrder="1"/>
    </xf>
    <xf numFmtId="0" fontId="11" fillId="8" borderId="7" xfId="0" applyFont="1" applyFill="1" applyBorder="1" applyAlignment="1">
      <alignment horizontal="center" vertical="center" wrapText="1" readingOrder="1"/>
    </xf>
    <xf numFmtId="0" fontId="11" fillId="8" borderId="10" xfId="0" applyFont="1" applyFill="1" applyBorder="1" applyAlignment="1">
      <alignment horizontal="center" vertical="center" wrapText="1" readingOrder="1"/>
    </xf>
    <xf numFmtId="0" fontId="11" fillId="8" borderId="11" xfId="0" applyFont="1" applyFill="1" applyBorder="1" applyAlignment="1">
      <alignment horizontal="center" vertical="center" wrapText="1" readingOrder="1"/>
    </xf>
    <xf numFmtId="0" fontId="11" fillId="8" borderId="12" xfId="0" applyFont="1" applyFill="1" applyBorder="1" applyAlignment="1">
      <alignment horizontal="center" vertical="center" wrapText="1" readingOrder="1"/>
    </xf>
  </cellXfs>
  <cellStyles count="2">
    <cellStyle name="Comma" xfId="1" builtinId="3"/>
    <cellStyle name="Normal" xfId="0" builtinId="0"/>
  </cellStyles>
  <dxfs count="70"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:/Data1/Data/Projects/Projects/1%20UK&amp;E/HOTS/Lesson%20Learnt/Project%20A_Mar2018-v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Documents%20and%20Settings/john.x.adams/My%20Documents/Heineken/BCS%20Estimation/total%20est%20man%20day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:/Users/pvoss/Downloads/RAID%20LO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Documents%20and%20Settings/adick1/Local%20Settings/Temporary%20Internet%20Files/OLK25/CIO%20Monthly%20Operations%20Report_september2009%20v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 Sheet"/>
      <sheetName val="Look Up Values"/>
    </sheetNames>
    <sheetDataSet>
      <sheetData sheetId="0"/>
      <sheetData sheetId="1">
        <row r="2">
          <cell r="B2" t="str">
            <v>Design / Backlog  / Blueprint</v>
          </cell>
          <cell r="C2" t="str">
            <v>Went well</v>
          </cell>
        </row>
        <row r="3">
          <cell r="B3" t="str">
            <v>Budgeting / Financial Control</v>
          </cell>
          <cell r="C3" t="str">
            <v>Needs Improvement</v>
          </cell>
        </row>
        <row r="4">
          <cell r="B4" t="str">
            <v>Change Control</v>
          </cell>
          <cell r="C4" t="str">
            <v>Significant Problem</v>
          </cell>
        </row>
        <row r="5">
          <cell r="B5" t="str">
            <v>Change Management / Communications</v>
          </cell>
          <cell r="C5"/>
        </row>
        <row r="6">
          <cell r="B6" t="str">
            <v>Data Migration / Cutover</v>
          </cell>
          <cell r="C6"/>
        </row>
        <row r="7">
          <cell r="B7" t="str">
            <v>Development</v>
          </cell>
          <cell r="C7"/>
        </row>
        <row r="8">
          <cell r="B8" t="str">
            <v>Management / Governance</v>
          </cell>
        </row>
        <row r="9">
          <cell r="B9" t="str">
            <v>Methods - UPM / USM</v>
          </cell>
        </row>
        <row r="10">
          <cell r="B10" t="str">
            <v>Methods - Technical (Agile/iSAP/Oracle)</v>
          </cell>
        </row>
        <row r="11">
          <cell r="B11" t="str">
            <v>People</v>
          </cell>
        </row>
        <row r="12">
          <cell r="B12" t="str">
            <v>Planning</v>
          </cell>
        </row>
        <row r="13">
          <cell r="B13" t="str">
            <v>Quality Management</v>
          </cell>
        </row>
        <row r="14">
          <cell r="B14" t="str">
            <v>Reporting</v>
          </cell>
        </row>
        <row r="15">
          <cell r="B15" t="str">
            <v>Requirements / Scope</v>
          </cell>
        </row>
        <row r="16">
          <cell r="B16" t="str">
            <v>Risk / Issue Management</v>
          </cell>
        </row>
        <row r="17">
          <cell r="B17" t="str">
            <v>Support</v>
          </cell>
        </row>
        <row r="18">
          <cell r="B18" t="str">
            <v>Suppliers/Third Parties</v>
          </cell>
        </row>
        <row r="19">
          <cell r="B19" t="str">
            <v>Testing</v>
          </cell>
        </row>
        <row r="20">
          <cell r="B20" t="str">
            <v>Training</v>
          </cell>
        </row>
        <row r="21">
          <cell r="B21" t="str">
            <v>Other</v>
          </cell>
        </row>
        <row r="22">
          <cell r="B22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ingRates"/>
      <sheetName val="Implementation Budget Variance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gh Lvl Plan"/>
      <sheetName val="Sharepoint"/>
      <sheetName val="Resource Plan"/>
      <sheetName val="TASKS"/>
      <sheetName val="RISKS"/>
      <sheetName val="Issues.."/>
      <sheetName val="ISSUES"/>
      <sheetName val="Assumptions"/>
      <sheetName val="Dependencies"/>
      <sheetName val="Data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>
        <row r="1">
          <cell r="A1" t="str">
            <v>Status</v>
          </cell>
          <cell r="C1" t="str">
            <v>Impact</v>
          </cell>
          <cell r="E1" t="str">
            <v>Likelihood</v>
          </cell>
        </row>
        <row r="2">
          <cell r="A2" t="str">
            <v xml:space="preserve">Closed </v>
          </cell>
          <cell r="B2">
            <v>0</v>
          </cell>
          <cell r="C2" t="str">
            <v>Inconsequential</v>
          </cell>
          <cell r="D2">
            <v>1</v>
          </cell>
          <cell r="E2" t="str">
            <v>Remote</v>
          </cell>
          <cell r="F2">
            <v>1</v>
          </cell>
        </row>
        <row r="3">
          <cell r="A3" t="str">
            <v xml:space="preserve">Fully Mitigated </v>
          </cell>
          <cell r="B3">
            <v>1</v>
          </cell>
          <cell r="C3" t="str">
            <v>Light</v>
          </cell>
          <cell r="D3">
            <v>2</v>
          </cell>
          <cell r="E3" t="str">
            <v>Slight</v>
          </cell>
          <cell r="F3">
            <v>2</v>
          </cell>
        </row>
        <row r="4">
          <cell r="A4" t="str">
            <v xml:space="preserve">Partially Mitigated </v>
          </cell>
          <cell r="B4">
            <v>3</v>
          </cell>
          <cell r="C4" t="str">
            <v>Moderate</v>
          </cell>
          <cell r="D4">
            <v>3</v>
          </cell>
          <cell r="E4" t="str">
            <v>Moderate</v>
          </cell>
          <cell r="F4">
            <v>3</v>
          </cell>
        </row>
        <row r="5">
          <cell r="A5" t="str">
            <v xml:space="preserve">Open </v>
          </cell>
          <cell r="B5">
            <v>4</v>
          </cell>
          <cell r="C5" t="str">
            <v>Severe</v>
          </cell>
          <cell r="D5">
            <v>4</v>
          </cell>
          <cell r="E5" t="str">
            <v>High</v>
          </cell>
          <cell r="F5">
            <v>4</v>
          </cell>
        </row>
        <row r="6">
          <cell r="A6" t="str">
            <v>Occurring</v>
          </cell>
          <cell r="B6">
            <v>5</v>
          </cell>
          <cell r="C6" t="str">
            <v>Critical</v>
          </cell>
          <cell r="D6">
            <v>5</v>
          </cell>
          <cell r="E6" t="str">
            <v>Certain</v>
          </cell>
          <cell r="F6">
            <v>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us Options"/>
      <sheetName val="CIO Monthly Report"/>
      <sheetName val="Sheet3"/>
    </sheetNames>
    <sheetDataSet>
      <sheetData sheetId="0">
        <row r="1">
          <cell r="A1" t="str">
            <v>G</v>
          </cell>
          <cell r="C1" t="str">
            <v>JANUARY</v>
          </cell>
          <cell r="E1">
            <v>2</v>
          </cell>
          <cell r="F1">
            <v>1</v>
          </cell>
        </row>
        <row r="2">
          <cell r="C2" t="str">
            <v>FEBRUARY</v>
          </cell>
          <cell r="E2">
            <v>4</v>
          </cell>
          <cell r="F2">
            <v>3</v>
          </cell>
        </row>
        <row r="3">
          <cell r="C3" t="str">
            <v>MARCH</v>
          </cell>
          <cell r="E3">
            <v>8</v>
          </cell>
          <cell r="F3">
            <v>20</v>
          </cell>
        </row>
        <row r="4">
          <cell r="C4" t="str">
            <v>APRIL</v>
          </cell>
          <cell r="E4">
            <v>12</v>
          </cell>
          <cell r="F4">
            <v>100</v>
          </cell>
        </row>
        <row r="5">
          <cell r="C5" t="str">
            <v>MAY</v>
          </cell>
          <cell r="E5">
            <v>16</v>
          </cell>
          <cell r="F5">
            <v>1000</v>
          </cell>
        </row>
        <row r="6">
          <cell r="C6" t="str">
            <v>JUNE</v>
          </cell>
        </row>
        <row r="7">
          <cell r="C7" t="str">
            <v>JULY</v>
          </cell>
        </row>
        <row r="8">
          <cell r="C8" t="str">
            <v>AUGUST</v>
          </cell>
        </row>
        <row r="9">
          <cell r="C9" t="str">
            <v>SEPTEMBER</v>
          </cell>
        </row>
        <row r="10">
          <cell r="C10" t="str">
            <v>OCTOBER</v>
          </cell>
        </row>
        <row r="11">
          <cell r="C11" t="str">
            <v>NOVEMBER</v>
          </cell>
        </row>
        <row r="12">
          <cell r="C12" t="str">
            <v>DECEMBER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2B4C-47AF-40D3-8A82-64268E3CDA77}">
  <sheetPr>
    <pageSetUpPr fitToPage="1"/>
  </sheetPr>
  <dimension ref="A1:M34"/>
  <sheetViews>
    <sheetView showGridLines="0" tabSelected="1" showRuler="0" zoomScale="220" zoomScaleNormal="220" zoomScaleSheetLayoutView="100" workbookViewId="0">
      <selection activeCell="F32" sqref="F32:J32"/>
    </sheetView>
  </sheetViews>
  <sheetFormatPr baseColWidth="10" defaultColWidth="9.1640625" defaultRowHeight="15" x14ac:dyDescent="0.2"/>
  <cols>
    <col min="1" max="1" width="2.33203125" customWidth="1"/>
    <col min="2" max="2" width="17.83203125" style="30" customWidth="1"/>
    <col min="3" max="10" width="14.6640625" style="30" customWidth="1"/>
    <col min="12" max="12" width="3.5" hidden="1" customWidth="1"/>
    <col min="13" max="13" width="9.1640625" hidden="1" customWidth="1"/>
    <col min="14" max="16384" width="9.1640625" style="6"/>
  </cols>
  <sheetData>
    <row r="1" spans="2:13" s="4" customFormat="1" ht="16" thickBot="1" x14ac:dyDescent="0.25">
      <c r="B1" s="1" t="s">
        <v>0</v>
      </c>
      <c r="C1" s="31" t="s">
        <v>62</v>
      </c>
      <c r="D1" s="2"/>
      <c r="E1" s="1" t="s">
        <v>1</v>
      </c>
      <c r="F1" s="31" t="s">
        <v>63</v>
      </c>
      <c r="G1" s="2"/>
      <c r="H1" s="2"/>
      <c r="I1" s="1" t="s">
        <v>2</v>
      </c>
      <c r="J1" s="32">
        <v>43710</v>
      </c>
      <c r="K1" s="3"/>
      <c r="M1"/>
    </row>
    <row r="2" spans="2:13" s="4" customFormat="1" x14ac:dyDescent="0.2">
      <c r="B2" s="1" t="s">
        <v>3</v>
      </c>
      <c r="C2" s="31" t="s">
        <v>58</v>
      </c>
      <c r="D2" s="2"/>
      <c r="E2" s="1" t="s">
        <v>5</v>
      </c>
      <c r="F2" s="31" t="s">
        <v>59</v>
      </c>
      <c r="G2" s="31" t="s">
        <v>60</v>
      </c>
      <c r="H2" s="31" t="s">
        <v>61</v>
      </c>
      <c r="I2" s="31"/>
      <c r="J2" s="31"/>
      <c r="K2" s="3"/>
      <c r="M2"/>
    </row>
    <row r="3" spans="2:13" s="6" customFormat="1" ht="5" customHeight="1" thickBot="1" x14ac:dyDescent="0.25">
      <c r="B3" s="5"/>
      <c r="C3" s="5"/>
      <c r="D3" s="5"/>
      <c r="E3" s="5"/>
      <c r="F3" s="5"/>
      <c r="G3" s="5"/>
      <c r="H3" s="5"/>
      <c r="I3" s="5"/>
      <c r="J3" s="5"/>
      <c r="K3" s="3"/>
      <c r="M3"/>
    </row>
    <row r="4" spans="2:13" s="6" customFormat="1" ht="16" thickTop="1" x14ac:dyDescent="0.2">
      <c r="B4" s="7" t="s">
        <v>6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</v>
      </c>
      <c r="K4" s="3"/>
      <c r="M4"/>
    </row>
    <row r="5" spans="2:13" s="6" customFormat="1" x14ac:dyDescent="0.2">
      <c r="B5" s="9" t="s">
        <v>8</v>
      </c>
      <c r="C5" s="10">
        <v>43719</v>
      </c>
      <c r="D5" s="10">
        <v>43720</v>
      </c>
      <c r="E5" s="10">
        <v>43738</v>
      </c>
      <c r="F5" s="10">
        <v>43748</v>
      </c>
      <c r="G5" s="10">
        <v>43763</v>
      </c>
      <c r="H5" s="10">
        <v>43784</v>
      </c>
      <c r="I5" s="10">
        <v>43802</v>
      </c>
      <c r="J5" s="10">
        <v>43511</v>
      </c>
      <c r="K5" s="3"/>
      <c r="M5"/>
    </row>
    <row r="6" spans="2:13" s="6" customFormat="1" x14ac:dyDescent="0.2">
      <c r="B6" s="9" t="s">
        <v>9</v>
      </c>
      <c r="C6" s="11" t="s">
        <v>10</v>
      </c>
      <c r="D6" s="11" t="s">
        <v>10</v>
      </c>
      <c r="E6" s="11" t="s">
        <v>10</v>
      </c>
      <c r="F6" s="11" t="s">
        <v>10</v>
      </c>
      <c r="G6" s="11" t="s">
        <v>10</v>
      </c>
      <c r="H6" s="11" t="s">
        <v>10</v>
      </c>
      <c r="I6" s="11" t="s">
        <v>10</v>
      </c>
      <c r="J6" s="11" t="s">
        <v>10</v>
      </c>
      <c r="K6" s="3"/>
      <c r="M6"/>
    </row>
    <row r="7" spans="2:13" s="6" customFormat="1" ht="5" customHeight="1" thickBot="1" x14ac:dyDescent="0.25">
      <c r="B7" s="5"/>
      <c r="C7" s="5"/>
      <c r="D7" s="5"/>
      <c r="E7" s="5"/>
      <c r="F7" s="5"/>
      <c r="G7" s="5"/>
      <c r="H7" s="5"/>
      <c r="I7" s="5"/>
      <c r="J7" s="5"/>
      <c r="K7" s="3"/>
      <c r="M7"/>
    </row>
    <row r="8" spans="2:13" s="6" customFormat="1" ht="25" thickTop="1" x14ac:dyDescent="0.2">
      <c r="B8" s="12" t="s">
        <v>11</v>
      </c>
      <c r="C8" s="12" t="s">
        <v>12</v>
      </c>
      <c r="D8" s="12" t="s">
        <v>13</v>
      </c>
      <c r="E8" s="12" t="s">
        <v>14</v>
      </c>
      <c r="F8" s="12" t="s">
        <v>15</v>
      </c>
      <c r="G8" s="36" t="s">
        <v>16</v>
      </c>
      <c r="H8" s="37"/>
      <c r="I8" s="37"/>
      <c r="J8" s="38"/>
      <c r="K8" s="3"/>
      <c r="M8"/>
    </row>
    <row r="9" spans="2:13" s="6" customFormat="1" x14ac:dyDescent="0.2">
      <c r="B9" s="39" t="s">
        <v>17</v>
      </c>
      <c r="C9" s="13" t="s">
        <v>17</v>
      </c>
      <c r="D9" s="14" t="s">
        <v>19</v>
      </c>
      <c r="E9" s="13" t="s">
        <v>20</v>
      </c>
      <c r="F9" s="39" t="s">
        <v>20</v>
      </c>
      <c r="G9" s="42" t="s">
        <v>21</v>
      </c>
      <c r="H9" s="43"/>
      <c r="I9" s="43"/>
      <c r="J9" s="44"/>
      <c r="K9" s="3"/>
      <c r="L9" s="6" t="s">
        <v>18</v>
      </c>
      <c r="M9"/>
    </row>
    <row r="10" spans="2:13" s="6" customFormat="1" x14ac:dyDescent="0.2">
      <c r="B10" s="40"/>
      <c r="C10" s="13" t="s">
        <v>18</v>
      </c>
      <c r="D10" s="15" t="s">
        <v>22</v>
      </c>
      <c r="E10" s="13" t="s">
        <v>20</v>
      </c>
      <c r="F10" s="40"/>
      <c r="G10" s="42" t="s">
        <v>23</v>
      </c>
      <c r="H10" s="43"/>
      <c r="I10" s="43"/>
      <c r="J10" s="44"/>
      <c r="K10" s="3"/>
      <c r="L10" s="6" t="s">
        <v>17</v>
      </c>
      <c r="M10"/>
    </row>
    <row r="11" spans="2:13" s="6" customFormat="1" x14ac:dyDescent="0.2">
      <c r="B11" s="40"/>
      <c r="C11" s="13" t="s">
        <v>20</v>
      </c>
      <c r="D11" s="14" t="s">
        <v>24</v>
      </c>
      <c r="E11" s="13" t="s">
        <v>20</v>
      </c>
      <c r="F11" s="40"/>
      <c r="G11" s="42" t="s">
        <v>25</v>
      </c>
      <c r="H11" s="43"/>
      <c r="I11" s="43"/>
      <c r="J11" s="44"/>
      <c r="K11" s="3"/>
      <c r="L11" s="6" t="s">
        <v>20</v>
      </c>
      <c r="M11"/>
    </row>
    <row r="12" spans="2:13" s="6" customFormat="1" ht="15" customHeight="1" x14ac:dyDescent="0.2">
      <c r="B12" s="41"/>
      <c r="C12" s="13" t="s">
        <v>17</v>
      </c>
      <c r="D12" s="15" t="s">
        <v>26</v>
      </c>
      <c r="E12" s="13" t="s">
        <v>20</v>
      </c>
      <c r="F12" s="41"/>
      <c r="G12" s="42" t="s">
        <v>27</v>
      </c>
      <c r="H12" s="43"/>
      <c r="I12" s="43"/>
      <c r="J12" s="44"/>
      <c r="K12" s="3"/>
      <c r="L12" s="6" t="s">
        <v>28</v>
      </c>
      <c r="M12"/>
    </row>
    <row r="13" spans="2:13" s="6" customFormat="1" ht="15" customHeight="1" x14ac:dyDescent="0.2">
      <c r="B13" s="45" t="s">
        <v>29</v>
      </c>
      <c r="C13" s="46"/>
      <c r="D13" s="46"/>
      <c r="E13" s="46"/>
      <c r="F13" s="47"/>
      <c r="G13" s="16" t="s">
        <v>30</v>
      </c>
      <c r="H13" s="17" t="s">
        <v>31</v>
      </c>
      <c r="I13" s="17" t="s">
        <v>32</v>
      </c>
      <c r="J13" s="17" t="s">
        <v>33</v>
      </c>
      <c r="M13"/>
    </row>
    <row r="14" spans="2:13" s="6" customFormat="1" ht="15" customHeight="1" x14ac:dyDescent="0.2">
      <c r="B14" s="33" t="s">
        <v>34</v>
      </c>
      <c r="C14" s="34"/>
      <c r="D14" s="34"/>
      <c r="E14" s="34"/>
      <c r="F14" s="35"/>
      <c r="G14" s="18" t="s">
        <v>64</v>
      </c>
      <c r="H14" s="19" t="s">
        <v>35</v>
      </c>
      <c r="I14" s="20" t="str">
        <f>G15</f>
        <v>Prepare</v>
      </c>
      <c r="J14" s="19">
        <v>43719</v>
      </c>
      <c r="M14"/>
    </row>
    <row r="15" spans="2:13" s="6" customFormat="1" ht="15" customHeight="1" x14ac:dyDescent="0.2">
      <c r="B15" s="33" t="s">
        <v>34</v>
      </c>
      <c r="C15" s="34"/>
      <c r="D15" s="34"/>
      <c r="E15" s="34"/>
      <c r="F15" s="35"/>
      <c r="G15" s="18" t="s">
        <v>65</v>
      </c>
      <c r="H15" s="19" t="s">
        <v>35</v>
      </c>
      <c r="I15" s="20" t="str">
        <f>G16</f>
        <v>Explore</v>
      </c>
      <c r="J15" s="19" t="s">
        <v>4</v>
      </c>
      <c r="M15"/>
    </row>
    <row r="16" spans="2:13" s="6" customFormat="1" ht="15" customHeight="1" x14ac:dyDescent="0.2">
      <c r="B16" s="33" t="s">
        <v>36</v>
      </c>
      <c r="C16" s="34"/>
      <c r="D16" s="34"/>
      <c r="E16" s="34"/>
      <c r="F16" s="35"/>
      <c r="G16" s="18" t="s">
        <v>66</v>
      </c>
      <c r="H16" s="19" t="s">
        <v>35</v>
      </c>
      <c r="I16" s="20" t="str">
        <f>G17</f>
        <v>Realise</v>
      </c>
      <c r="J16" s="19" t="s">
        <v>4</v>
      </c>
      <c r="M16"/>
    </row>
    <row r="17" spans="1:12" ht="15" customHeight="1" x14ac:dyDescent="0.2">
      <c r="A17" s="6"/>
      <c r="B17" s="33" t="s">
        <v>37</v>
      </c>
      <c r="C17" s="34"/>
      <c r="D17" s="34"/>
      <c r="E17" s="34"/>
      <c r="F17" s="35"/>
      <c r="G17" s="18" t="s">
        <v>67</v>
      </c>
      <c r="H17" s="19" t="s">
        <v>35</v>
      </c>
      <c r="I17" s="20" t="str">
        <f>G18</f>
        <v>Deploy</v>
      </c>
      <c r="J17" s="19" t="s">
        <v>4</v>
      </c>
      <c r="K17" s="6"/>
      <c r="L17" s="6"/>
    </row>
    <row r="18" spans="1:12" ht="15" customHeight="1" x14ac:dyDescent="0.2">
      <c r="A18" s="6"/>
      <c r="B18" s="33" t="s">
        <v>38</v>
      </c>
      <c r="C18" s="34"/>
      <c r="D18" s="34"/>
      <c r="E18" s="34"/>
      <c r="F18" s="35"/>
      <c r="G18" s="18" t="s">
        <v>68</v>
      </c>
      <c r="H18" s="19" t="s">
        <v>35</v>
      </c>
      <c r="I18" s="20" t="str">
        <f>G19</f>
        <v>Run</v>
      </c>
      <c r="J18" s="19" t="s">
        <v>4</v>
      </c>
      <c r="K18" s="6"/>
      <c r="L18" s="6"/>
    </row>
    <row r="19" spans="1:12" ht="15" customHeight="1" x14ac:dyDescent="0.2">
      <c r="A19" s="6"/>
      <c r="B19" s="33" t="s">
        <v>39</v>
      </c>
      <c r="C19" s="34"/>
      <c r="D19" s="34"/>
      <c r="E19" s="34"/>
      <c r="F19" s="35"/>
      <c r="G19" s="18" t="s">
        <v>69</v>
      </c>
      <c r="H19" s="19" t="s">
        <v>35</v>
      </c>
      <c r="I19" s="20" t="s">
        <v>40</v>
      </c>
      <c r="J19" s="19" t="s">
        <v>4</v>
      </c>
      <c r="K19" s="6"/>
      <c r="L19" s="6"/>
    </row>
    <row r="20" spans="1:12" ht="15" customHeight="1" x14ac:dyDescent="0.2">
      <c r="A20" s="6"/>
      <c r="B20" s="21" t="s">
        <v>41</v>
      </c>
      <c r="C20" s="22"/>
      <c r="D20" s="22"/>
      <c r="E20" s="22"/>
      <c r="F20" s="48" t="s">
        <v>42</v>
      </c>
      <c r="G20" s="49"/>
      <c r="H20" s="49"/>
      <c r="I20" s="23" t="s">
        <v>43</v>
      </c>
      <c r="J20" s="17" t="s">
        <v>44</v>
      </c>
      <c r="K20" s="6"/>
      <c r="L20" s="6"/>
    </row>
    <row r="21" spans="1:12" ht="15" customHeight="1" x14ac:dyDescent="0.2">
      <c r="A21" s="6"/>
      <c r="B21" s="33" t="s">
        <v>45</v>
      </c>
      <c r="C21" s="34"/>
      <c r="D21" s="34"/>
      <c r="E21" s="34"/>
      <c r="F21" s="50" t="s">
        <v>46</v>
      </c>
      <c r="G21" s="51"/>
      <c r="H21" s="52"/>
      <c r="I21" s="24"/>
      <c r="J21" s="13" t="s">
        <v>17</v>
      </c>
      <c r="K21" s="6"/>
      <c r="L21" s="6"/>
    </row>
    <row r="22" spans="1:12" ht="15" customHeight="1" x14ac:dyDescent="0.2">
      <c r="A22" s="6"/>
      <c r="B22" s="33" t="s">
        <v>45</v>
      </c>
      <c r="C22" s="34"/>
      <c r="D22" s="34"/>
      <c r="E22" s="34"/>
      <c r="F22" s="50" t="s">
        <v>46</v>
      </c>
      <c r="G22" s="51"/>
      <c r="H22" s="52"/>
      <c r="I22" s="24"/>
      <c r="J22" s="13" t="s">
        <v>20</v>
      </c>
      <c r="K22" s="6"/>
      <c r="L22" s="6"/>
    </row>
    <row r="23" spans="1:12" ht="15" customHeight="1" x14ac:dyDescent="0.2">
      <c r="A23" s="6"/>
      <c r="B23" s="33" t="s">
        <v>45</v>
      </c>
      <c r="C23" s="34"/>
      <c r="D23" s="34"/>
      <c r="E23" s="34"/>
      <c r="F23" s="50" t="s">
        <v>46</v>
      </c>
      <c r="G23" s="51"/>
      <c r="H23" s="52"/>
      <c r="I23" s="24"/>
      <c r="J23" s="13" t="s">
        <v>20</v>
      </c>
      <c r="K23" s="6"/>
      <c r="L23" s="6"/>
    </row>
    <row r="24" spans="1:12" ht="15" customHeight="1" x14ac:dyDescent="0.2">
      <c r="A24" s="6"/>
      <c r="B24" s="33" t="s">
        <v>45</v>
      </c>
      <c r="C24" s="34"/>
      <c r="D24" s="34"/>
      <c r="E24" s="34"/>
      <c r="F24" s="50" t="s">
        <v>46</v>
      </c>
      <c r="G24" s="51"/>
      <c r="H24" s="52"/>
      <c r="I24" s="24"/>
      <c r="J24" s="13" t="s">
        <v>18</v>
      </c>
      <c r="K24" s="3"/>
      <c r="L24" s="6"/>
    </row>
    <row r="25" spans="1:12" ht="15" customHeight="1" x14ac:dyDescent="0.2">
      <c r="A25" s="6"/>
      <c r="B25" s="33" t="s">
        <v>45</v>
      </c>
      <c r="C25" s="34"/>
      <c r="D25" s="34"/>
      <c r="E25" s="34"/>
      <c r="F25" s="50" t="s">
        <v>47</v>
      </c>
      <c r="G25" s="51"/>
      <c r="H25" s="52"/>
      <c r="I25" s="24"/>
      <c r="J25" s="13" t="s">
        <v>20</v>
      </c>
      <c r="K25" s="3"/>
      <c r="L25" s="6"/>
    </row>
    <row r="26" spans="1:12" ht="15" customHeight="1" x14ac:dyDescent="0.2">
      <c r="A26" s="6"/>
      <c r="B26" s="33" t="s">
        <v>45</v>
      </c>
      <c r="C26" s="34"/>
      <c r="D26" s="34"/>
      <c r="E26" s="34"/>
      <c r="F26" s="50" t="s">
        <v>47</v>
      </c>
      <c r="G26" s="51"/>
      <c r="H26" s="52"/>
      <c r="I26" s="24"/>
      <c r="J26" s="13" t="s">
        <v>20</v>
      </c>
      <c r="K26" s="3"/>
      <c r="L26" s="6"/>
    </row>
    <row r="27" spans="1:12" ht="15" customHeight="1" x14ac:dyDescent="0.2">
      <c r="A27" s="6"/>
      <c r="B27" s="33" t="s">
        <v>45</v>
      </c>
      <c r="C27" s="34"/>
      <c r="D27" s="34"/>
      <c r="E27" s="34"/>
      <c r="F27" s="50" t="s">
        <v>47</v>
      </c>
      <c r="G27" s="51"/>
      <c r="H27" s="52"/>
      <c r="I27" s="24"/>
      <c r="J27" s="13" t="s">
        <v>20</v>
      </c>
      <c r="L27" s="6"/>
    </row>
    <row r="28" spans="1:12" ht="15" customHeight="1" x14ac:dyDescent="0.2">
      <c r="A28" s="6"/>
      <c r="B28" s="33" t="s">
        <v>48</v>
      </c>
      <c r="C28" s="34"/>
      <c r="D28" s="34"/>
      <c r="E28" s="34"/>
      <c r="F28" s="50" t="s">
        <v>47</v>
      </c>
      <c r="G28" s="51"/>
      <c r="H28" s="52"/>
      <c r="I28" s="24"/>
      <c r="J28" s="13" t="s">
        <v>20</v>
      </c>
      <c r="L28" s="6"/>
    </row>
    <row r="29" spans="1:12" ht="15" customHeight="1" x14ac:dyDescent="0.2">
      <c r="A29" s="6"/>
      <c r="B29" s="45" t="s">
        <v>49</v>
      </c>
      <c r="C29" s="46"/>
      <c r="D29" s="46"/>
      <c r="E29" s="46"/>
      <c r="F29" s="53" t="s">
        <v>50</v>
      </c>
      <c r="G29" s="54"/>
      <c r="H29" s="54"/>
      <c r="I29" s="54"/>
      <c r="J29" s="55"/>
      <c r="L29" s="6"/>
    </row>
    <row r="30" spans="1:12" ht="15" customHeight="1" x14ac:dyDescent="0.2">
      <c r="A30" s="6"/>
      <c r="B30" s="33" t="s">
        <v>48</v>
      </c>
      <c r="C30" s="34"/>
      <c r="D30" s="34"/>
      <c r="E30" s="34"/>
      <c r="F30" s="25" t="s">
        <v>51</v>
      </c>
      <c r="G30" s="25" t="s">
        <v>52</v>
      </c>
      <c r="H30" s="25" t="s">
        <v>53</v>
      </c>
      <c r="I30" s="25" t="s">
        <v>54</v>
      </c>
      <c r="J30" s="25" t="s">
        <v>55</v>
      </c>
      <c r="L30" s="6"/>
    </row>
    <row r="31" spans="1:12" ht="15" customHeight="1" x14ac:dyDescent="0.2">
      <c r="A31" s="6"/>
      <c r="B31" s="33" t="s">
        <v>48</v>
      </c>
      <c r="C31" s="34"/>
      <c r="D31" s="34"/>
      <c r="E31" s="34"/>
      <c r="F31" s="26">
        <v>1000</v>
      </c>
      <c r="G31" s="26">
        <v>600</v>
      </c>
      <c r="H31" s="26">
        <f>I31-G31</f>
        <v>500</v>
      </c>
      <c r="I31" s="26">
        <v>1100</v>
      </c>
      <c r="J31" s="27">
        <f>F31-I31</f>
        <v>-100</v>
      </c>
      <c r="L31" s="6"/>
    </row>
    <row r="32" spans="1:12" ht="15.75" customHeight="1" thickBot="1" x14ac:dyDescent="0.25">
      <c r="A32" s="6"/>
      <c r="B32" s="33" t="s">
        <v>48</v>
      </c>
      <c r="C32" s="34"/>
      <c r="D32" s="34"/>
      <c r="E32" s="34"/>
      <c r="F32" s="56"/>
      <c r="G32" s="57"/>
      <c r="H32" s="57"/>
      <c r="I32" s="57"/>
      <c r="J32" s="58"/>
      <c r="L32" s="6"/>
    </row>
    <row r="33" spans="1:12" ht="16" thickTop="1" x14ac:dyDescent="0.2">
      <c r="A33" s="6"/>
      <c r="B33" s="28" t="s">
        <v>56</v>
      </c>
      <c r="C33" s="29">
        <v>43711</v>
      </c>
      <c r="D33" s="29">
        <f t="shared" ref="D33:J33" si="0">C33+7</f>
        <v>43718</v>
      </c>
      <c r="E33" s="29">
        <f t="shared" si="0"/>
        <v>43725</v>
      </c>
      <c r="F33" s="29">
        <f t="shared" si="0"/>
        <v>43732</v>
      </c>
      <c r="G33" s="29">
        <f t="shared" si="0"/>
        <v>43739</v>
      </c>
      <c r="H33" s="29">
        <f t="shared" si="0"/>
        <v>43746</v>
      </c>
      <c r="I33" s="29">
        <f t="shared" si="0"/>
        <v>43753</v>
      </c>
      <c r="J33" s="29">
        <f t="shared" si="0"/>
        <v>43760</v>
      </c>
      <c r="L33" s="6"/>
    </row>
    <row r="34" spans="1:12" x14ac:dyDescent="0.2">
      <c r="A34" s="6"/>
      <c r="B34" s="7" t="s">
        <v>57</v>
      </c>
      <c r="C34" s="13" t="s">
        <v>20</v>
      </c>
      <c r="D34" s="13" t="s">
        <v>20</v>
      </c>
      <c r="E34" s="13" t="s">
        <v>20</v>
      </c>
      <c r="F34" s="13" t="s">
        <v>20</v>
      </c>
      <c r="G34" s="13" t="s">
        <v>20</v>
      </c>
      <c r="H34" s="13" t="s">
        <v>20</v>
      </c>
      <c r="I34" s="13" t="s">
        <v>20</v>
      </c>
      <c r="J34" s="13" t="s">
        <v>20</v>
      </c>
      <c r="L34" s="6"/>
    </row>
  </sheetData>
  <mergeCells count="37">
    <mergeCell ref="B29:E29"/>
    <mergeCell ref="F29:J29"/>
    <mergeCell ref="B30:E30"/>
    <mergeCell ref="B31:E31"/>
    <mergeCell ref="B32:E32"/>
    <mergeCell ref="F32:J32"/>
    <mergeCell ref="B26:E26"/>
    <mergeCell ref="F26:H26"/>
    <mergeCell ref="B27:E27"/>
    <mergeCell ref="F27:H27"/>
    <mergeCell ref="B28:E28"/>
    <mergeCell ref="F28:H28"/>
    <mergeCell ref="B23:E23"/>
    <mergeCell ref="F23:H23"/>
    <mergeCell ref="B24:E24"/>
    <mergeCell ref="F24:H24"/>
    <mergeCell ref="B25:E25"/>
    <mergeCell ref="F25:H25"/>
    <mergeCell ref="B19:F19"/>
    <mergeCell ref="F20:H20"/>
    <mergeCell ref="B21:E21"/>
    <mergeCell ref="F21:H21"/>
    <mergeCell ref="B22:E22"/>
    <mergeCell ref="F22:H22"/>
    <mergeCell ref="B18:F18"/>
    <mergeCell ref="G8:J8"/>
    <mergeCell ref="B9:B12"/>
    <mergeCell ref="F9:F12"/>
    <mergeCell ref="G9:J9"/>
    <mergeCell ref="G10:J10"/>
    <mergeCell ref="G11:J11"/>
    <mergeCell ref="G12:J12"/>
    <mergeCell ref="B13:F13"/>
    <mergeCell ref="B14:F14"/>
    <mergeCell ref="B15:F15"/>
    <mergeCell ref="B16:F16"/>
    <mergeCell ref="B17:F17"/>
  </mergeCells>
  <conditionalFormatting sqref="B9">
    <cfRule type="cellIs" dxfId="69" priority="70" operator="equal">
      <formula>"G"</formula>
    </cfRule>
    <cfRule type="cellIs" dxfId="68" priority="71" operator="equal">
      <formula>"A"</formula>
    </cfRule>
    <cfRule type="cellIs" dxfId="67" priority="72" operator="equal">
      <formula>"R"</formula>
    </cfRule>
  </conditionalFormatting>
  <conditionalFormatting sqref="B9">
    <cfRule type="cellIs" dxfId="66" priority="69" operator="equal">
      <formula>"Grey"</formula>
    </cfRule>
  </conditionalFormatting>
  <conditionalFormatting sqref="C9:C12">
    <cfRule type="cellIs" dxfId="65" priority="66" operator="equal">
      <formula>"G"</formula>
    </cfRule>
    <cfRule type="cellIs" dxfId="64" priority="67" operator="equal">
      <formula>"A"</formula>
    </cfRule>
    <cfRule type="cellIs" dxfId="63" priority="68" operator="equal">
      <formula>"R"</formula>
    </cfRule>
  </conditionalFormatting>
  <conditionalFormatting sqref="C9:C12">
    <cfRule type="cellIs" dxfId="62" priority="65" operator="equal">
      <formula>"Grey"</formula>
    </cfRule>
  </conditionalFormatting>
  <conditionalFormatting sqref="C34:J34">
    <cfRule type="cellIs" dxfId="61" priority="62" operator="equal">
      <formula>"G"</formula>
    </cfRule>
    <cfRule type="cellIs" dxfId="60" priority="63" operator="equal">
      <formula>"A"</formula>
    </cfRule>
    <cfRule type="cellIs" dxfId="59" priority="64" operator="equal">
      <formula>"R"</formula>
    </cfRule>
  </conditionalFormatting>
  <conditionalFormatting sqref="C34:J34">
    <cfRule type="cellIs" dxfId="58" priority="61" operator="equal">
      <formula>"Grey"</formula>
    </cfRule>
  </conditionalFormatting>
  <conditionalFormatting sqref="F9">
    <cfRule type="cellIs" dxfId="57" priority="58" operator="equal">
      <formula>"G"</formula>
    </cfRule>
    <cfRule type="cellIs" dxfId="56" priority="59" operator="equal">
      <formula>"A"</formula>
    </cfRule>
    <cfRule type="cellIs" dxfId="55" priority="60" operator="equal">
      <formula>"R"</formula>
    </cfRule>
  </conditionalFormatting>
  <conditionalFormatting sqref="F9">
    <cfRule type="cellIs" dxfId="54" priority="57" operator="equal">
      <formula>"Grey"</formula>
    </cfRule>
  </conditionalFormatting>
  <conditionalFormatting sqref="J31">
    <cfRule type="cellIs" dxfId="53" priority="2" operator="lessThan">
      <formula>0</formula>
    </cfRule>
    <cfRule type="cellIs" dxfId="52" priority="1" operator="greaterThan">
      <formula>0</formula>
    </cfRule>
  </conditionalFormatting>
  <conditionalFormatting sqref="J21">
    <cfRule type="cellIs" dxfId="51" priority="52" operator="equal">
      <formula>"G"</formula>
    </cfRule>
    <cfRule type="cellIs" dxfId="50" priority="53" operator="equal">
      <formula>"A"</formula>
    </cfRule>
    <cfRule type="cellIs" dxfId="49" priority="54" operator="equal">
      <formula>"R"</formula>
    </cfRule>
  </conditionalFormatting>
  <conditionalFormatting sqref="J21">
    <cfRule type="cellIs" dxfId="48" priority="51" operator="equal">
      <formula>"Grey"</formula>
    </cfRule>
  </conditionalFormatting>
  <conditionalFormatting sqref="C11">
    <cfRule type="cellIs" dxfId="47" priority="48" operator="equal">
      <formula>"G"</formula>
    </cfRule>
    <cfRule type="cellIs" dxfId="46" priority="49" operator="equal">
      <formula>"A"</formula>
    </cfRule>
    <cfRule type="cellIs" dxfId="45" priority="50" operator="equal">
      <formula>"R"</formula>
    </cfRule>
  </conditionalFormatting>
  <conditionalFormatting sqref="C11">
    <cfRule type="cellIs" dxfId="44" priority="47" operator="equal">
      <formula>"Grey"</formula>
    </cfRule>
  </conditionalFormatting>
  <conditionalFormatting sqref="C10">
    <cfRule type="cellIs" dxfId="43" priority="44" operator="equal">
      <formula>"G"</formula>
    </cfRule>
    <cfRule type="cellIs" dxfId="42" priority="45" operator="equal">
      <formula>"A"</formula>
    </cfRule>
    <cfRule type="cellIs" dxfId="41" priority="46" operator="equal">
      <formula>"R"</formula>
    </cfRule>
  </conditionalFormatting>
  <conditionalFormatting sqref="C10">
    <cfRule type="cellIs" dxfId="40" priority="43" operator="equal">
      <formula>"Grey"</formula>
    </cfRule>
  </conditionalFormatting>
  <conditionalFormatting sqref="J22">
    <cfRule type="cellIs" dxfId="39" priority="40" operator="equal">
      <formula>"G"</formula>
    </cfRule>
    <cfRule type="cellIs" dxfId="38" priority="41" operator="equal">
      <formula>"A"</formula>
    </cfRule>
    <cfRule type="cellIs" dxfId="37" priority="42" operator="equal">
      <formula>"R"</formula>
    </cfRule>
  </conditionalFormatting>
  <conditionalFormatting sqref="J22">
    <cfRule type="cellIs" dxfId="36" priority="39" operator="equal">
      <formula>"Grey"</formula>
    </cfRule>
  </conditionalFormatting>
  <conditionalFormatting sqref="E9 E12">
    <cfRule type="cellIs" dxfId="35" priority="36" operator="equal">
      <formula>"G"</formula>
    </cfRule>
    <cfRule type="cellIs" dxfId="34" priority="37" operator="equal">
      <formula>"A"</formula>
    </cfRule>
    <cfRule type="cellIs" dxfId="33" priority="38" operator="equal">
      <formula>"R"</formula>
    </cfRule>
  </conditionalFormatting>
  <conditionalFormatting sqref="E9 E12">
    <cfRule type="cellIs" dxfId="32" priority="35" operator="equal">
      <formula>"Grey"</formula>
    </cfRule>
  </conditionalFormatting>
  <conditionalFormatting sqref="E11">
    <cfRule type="cellIs" dxfId="31" priority="32" operator="equal">
      <formula>"G"</formula>
    </cfRule>
    <cfRule type="cellIs" dxfId="30" priority="33" operator="equal">
      <formula>"A"</formula>
    </cfRule>
    <cfRule type="cellIs" dxfId="29" priority="34" operator="equal">
      <formula>"R"</formula>
    </cfRule>
  </conditionalFormatting>
  <conditionalFormatting sqref="E11">
    <cfRule type="cellIs" dxfId="28" priority="31" operator="equal">
      <formula>"Grey"</formula>
    </cfRule>
  </conditionalFormatting>
  <conditionalFormatting sqref="E10">
    <cfRule type="cellIs" dxfId="27" priority="28" operator="equal">
      <formula>"G"</formula>
    </cfRule>
    <cfRule type="cellIs" dxfId="26" priority="29" operator="equal">
      <formula>"A"</formula>
    </cfRule>
    <cfRule type="cellIs" dxfId="25" priority="30" operator="equal">
      <formula>"R"</formula>
    </cfRule>
  </conditionalFormatting>
  <conditionalFormatting sqref="E10">
    <cfRule type="cellIs" dxfId="24" priority="27" operator="equal">
      <formula>"Grey"</formula>
    </cfRule>
  </conditionalFormatting>
  <conditionalFormatting sqref="J21:J28">
    <cfRule type="cellIs" dxfId="23" priority="24" operator="equal">
      <formula>"G"</formula>
    </cfRule>
    <cfRule type="cellIs" dxfId="22" priority="25" operator="equal">
      <formula>"A"</formula>
    </cfRule>
    <cfRule type="cellIs" dxfId="21" priority="26" operator="equal">
      <formula>"R"</formula>
    </cfRule>
  </conditionalFormatting>
  <conditionalFormatting sqref="J21:J28">
    <cfRule type="cellIs" dxfId="20" priority="23" operator="equal">
      <formula>"Grey"</formula>
    </cfRule>
  </conditionalFormatting>
  <conditionalFormatting sqref="J24">
    <cfRule type="cellIs" dxfId="19" priority="20" operator="equal">
      <formula>"G"</formula>
    </cfRule>
    <cfRule type="cellIs" dxfId="18" priority="21" operator="equal">
      <formula>"A"</formula>
    </cfRule>
    <cfRule type="cellIs" dxfId="17" priority="22" operator="equal">
      <formula>"R"</formula>
    </cfRule>
  </conditionalFormatting>
  <conditionalFormatting sqref="J24">
    <cfRule type="cellIs" dxfId="16" priority="19" operator="equal">
      <formula>"Grey"</formula>
    </cfRule>
  </conditionalFormatting>
  <conditionalFormatting sqref="J25">
    <cfRule type="cellIs" dxfId="15" priority="16" operator="equal">
      <formula>"G"</formula>
    </cfRule>
    <cfRule type="cellIs" dxfId="14" priority="17" operator="equal">
      <formula>"A"</formula>
    </cfRule>
    <cfRule type="cellIs" dxfId="13" priority="18" operator="equal">
      <formula>"R"</formula>
    </cfRule>
  </conditionalFormatting>
  <conditionalFormatting sqref="J25">
    <cfRule type="cellIs" dxfId="12" priority="15" operator="equal">
      <formula>"Grey"</formula>
    </cfRule>
  </conditionalFormatting>
  <conditionalFormatting sqref="J26">
    <cfRule type="cellIs" dxfId="11" priority="12" operator="equal">
      <formula>"G"</formula>
    </cfRule>
    <cfRule type="cellIs" dxfId="10" priority="13" operator="equal">
      <formula>"A"</formula>
    </cfRule>
    <cfRule type="cellIs" dxfId="9" priority="14" operator="equal">
      <formula>"R"</formula>
    </cfRule>
  </conditionalFormatting>
  <conditionalFormatting sqref="J26">
    <cfRule type="cellIs" dxfId="8" priority="11" operator="equal">
      <formula>"Grey"</formula>
    </cfRule>
  </conditionalFormatting>
  <conditionalFormatting sqref="J27">
    <cfRule type="cellIs" dxfId="7" priority="8" operator="equal">
      <formula>"G"</formula>
    </cfRule>
    <cfRule type="cellIs" dxfId="6" priority="9" operator="equal">
      <formula>"A"</formula>
    </cfRule>
    <cfRule type="cellIs" dxfId="5" priority="10" operator="equal">
      <formula>"R"</formula>
    </cfRule>
  </conditionalFormatting>
  <conditionalFormatting sqref="J27">
    <cfRule type="cellIs" dxfId="4" priority="7" operator="equal">
      <formula>"Grey"</formula>
    </cfRule>
  </conditionalFormatting>
  <conditionalFormatting sqref="J28">
    <cfRule type="cellIs" dxfId="3" priority="4" operator="equal">
      <formula>"G"</formula>
    </cfRule>
    <cfRule type="cellIs" dxfId="2" priority="5" operator="equal">
      <formula>"A"</formula>
    </cfRule>
    <cfRule type="cellIs" dxfId="1" priority="6" operator="equal">
      <formula>"R"</formula>
    </cfRule>
  </conditionalFormatting>
  <conditionalFormatting sqref="J28">
    <cfRule type="cellIs" dxfId="0" priority="3" operator="equal">
      <formula>"Grey"</formula>
    </cfRule>
  </conditionalFormatting>
  <dataValidations count="1">
    <dataValidation type="list" allowBlank="1" showInputMessage="1" showErrorMessage="1" sqref="E9:F9 C10:C12 C34:J34 E10:E12 B9:C9 J21:J28" xr:uid="{857A0FC3-9499-499A-B325-CA56134215F5}">
      <formula1>$L$9:$L$12</formula1>
    </dataValidation>
  </dataValidations>
  <printOptions horizontalCentered="1" verticalCentered="1"/>
  <pageMargins left="0.23622047244094491" right="0.23622047244094491" top="0.74803149606299213" bottom="0.28000000000000003" header="0.31496062992125984" footer="0.31496062992125984"/>
  <pageSetup paperSize="9" fitToHeight="0" orientation="landscape" r:id="rId1"/>
  <headerFooter>
    <oddHeader>&amp;C&amp;"Calibri"&amp;11&amp;K000000&amp;"Calibri"&amp;11&amp;K000000&amp;"Calibri"&amp;11&amp;K000000&amp;"Calibri"&amp;11&amp;K000000&amp;"Calibri"&amp;11&amp;K000000&amp;"Calibri"&amp;11&amp;K000000&amp;"Calibri"&amp;11&amp;K000000&amp;"Calibri,Bold"&amp;10&amp;KC00000Weekly Business Report - SAP to Cloud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CACC340F3794EB39D0ACE529A92EB" ma:contentTypeVersion="12" ma:contentTypeDescription="Create a new document." ma:contentTypeScope="" ma:versionID="b7bded1498b5088d9d12b7b5a6267d83">
  <xsd:schema xmlns:xsd="http://www.w3.org/2001/XMLSchema" xmlns:xs="http://www.w3.org/2001/XMLSchema" xmlns:p="http://schemas.microsoft.com/office/2006/metadata/properties" xmlns:ns2="9877967c-3a4a-4b53-aaa4-89d73bf4dfc6" xmlns:ns3="973cadb8-b126-4a26-ab20-70b36a76895c" targetNamespace="http://schemas.microsoft.com/office/2006/metadata/properties" ma:root="true" ma:fieldsID="492608d8c83e5c72a60bb7560f379455" ns2:_="" ns3:_="">
    <xsd:import namespace="9877967c-3a4a-4b53-aaa4-89d73bf4dfc6"/>
    <xsd:import namespace="973cadb8-b126-4a26-ab20-70b36a7689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77967c-3a4a-4b53-aaa4-89d73bf4df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cadb8-b126-4a26-ab20-70b36a76895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DF90CC-4CE2-49C8-BD92-2481301A18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ED4768-3868-44F7-849C-D82DC31FB651}">
  <ds:schemaRefs>
    <ds:schemaRef ds:uri="http://schemas.microsoft.com/office/infopath/2007/PartnerControls"/>
    <ds:schemaRef ds:uri="973cadb8-b126-4a26-ab20-70b36a76895c"/>
    <ds:schemaRef ds:uri="http://purl.org/dc/elements/1.1/"/>
    <ds:schemaRef ds:uri="http://schemas.microsoft.com/office/2006/metadata/properties"/>
    <ds:schemaRef ds:uri="http://schemas.microsoft.com/office/2006/documentManagement/types"/>
    <ds:schemaRef ds:uri="9877967c-3a4a-4b53-aaa4-89d73bf4dfc6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DC00B23-9066-4747-B40F-BBF227819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77967c-3a4a-4b53-aaa4-89d73bf4dfc6"/>
    <ds:schemaRef ds:uri="973cadb8-b126-4a26-ab20-70b36a7689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Status Report Template</vt:lpstr>
      <vt:lpstr>'Project Status Report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Voss, Peter (Group)</dc:creator>
  <cp:lastModifiedBy>Peter Voss</cp:lastModifiedBy>
  <dcterms:created xsi:type="dcterms:W3CDTF">2020-01-30T16:29:54Z</dcterms:created>
  <dcterms:modified xsi:type="dcterms:W3CDTF">2020-10-21T15:10:29Z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52753f-f27f-4308-b0ca-90b591d58f16_Enabled">
    <vt:lpwstr>True</vt:lpwstr>
  </property>
  <property fmtid="{D5CDD505-2E9C-101B-9397-08002B2CF9AE}" pid="3" name="MSIP_Label_9052753f-f27f-4308-b0ca-90b591d58f16_SiteId">
    <vt:lpwstr>f93616dd-45a6-40c8-9e29-adab2fb5f25c</vt:lpwstr>
  </property>
  <property fmtid="{D5CDD505-2E9C-101B-9397-08002B2CF9AE}" pid="4" name="MSIP_Label_9052753f-f27f-4308-b0ca-90b591d58f16_Owner">
    <vt:lpwstr>Peter.Voss@serco.com</vt:lpwstr>
  </property>
  <property fmtid="{D5CDD505-2E9C-101B-9397-08002B2CF9AE}" pid="5" name="MSIP_Label_9052753f-f27f-4308-b0ca-90b591d58f16_SetDate">
    <vt:lpwstr>2020-01-30T16:33:03.4450689Z</vt:lpwstr>
  </property>
  <property fmtid="{D5CDD505-2E9C-101B-9397-08002B2CF9AE}" pid="6" name="MSIP_Label_9052753f-f27f-4308-b0ca-90b591d58f16_Name">
    <vt:lpwstr>SB</vt:lpwstr>
  </property>
  <property fmtid="{D5CDD505-2E9C-101B-9397-08002B2CF9AE}" pid="7" name="MSIP_Label_9052753f-f27f-4308-b0ca-90b591d58f16_Application">
    <vt:lpwstr>Microsoft Azure Information Protection</vt:lpwstr>
  </property>
  <property fmtid="{D5CDD505-2E9C-101B-9397-08002B2CF9AE}" pid="8" name="MSIP_Label_9052753f-f27f-4308-b0ca-90b591d58f16_ActionId">
    <vt:lpwstr>c911468f-c8d5-46a9-9e62-c26c7d707a54</vt:lpwstr>
  </property>
  <property fmtid="{D5CDD505-2E9C-101B-9397-08002B2CF9AE}" pid="9" name="MSIP_Label_9052753f-f27f-4308-b0ca-90b591d58f16_Extended_MSFT_Method">
    <vt:lpwstr>Manual</vt:lpwstr>
  </property>
  <property fmtid="{D5CDD505-2E9C-101B-9397-08002B2CF9AE}" pid="10" name="MSIP_Label_d6fb369a-307f-449b-a188-56348c6f1760_Enabled">
    <vt:lpwstr>True</vt:lpwstr>
  </property>
  <property fmtid="{D5CDD505-2E9C-101B-9397-08002B2CF9AE}" pid="11" name="MSIP_Label_d6fb369a-307f-449b-a188-56348c6f1760_SiteId">
    <vt:lpwstr>f93616dd-45a6-40c8-9e29-adab2fb5f25c</vt:lpwstr>
  </property>
  <property fmtid="{D5CDD505-2E9C-101B-9397-08002B2CF9AE}" pid="12" name="MSIP_Label_d6fb369a-307f-449b-a188-56348c6f1760_Owner">
    <vt:lpwstr>Peter.Voss@serco.com</vt:lpwstr>
  </property>
  <property fmtid="{D5CDD505-2E9C-101B-9397-08002B2CF9AE}" pid="13" name="MSIP_Label_d6fb369a-307f-449b-a188-56348c6f1760_SetDate">
    <vt:lpwstr>2020-01-30T16:33:03.4450689Z</vt:lpwstr>
  </property>
  <property fmtid="{D5CDD505-2E9C-101B-9397-08002B2CF9AE}" pid="14" name="MSIP_Label_d6fb369a-307f-449b-a188-56348c6f1760_Name">
    <vt:lpwstr>Serco Business</vt:lpwstr>
  </property>
  <property fmtid="{D5CDD505-2E9C-101B-9397-08002B2CF9AE}" pid="15" name="MSIP_Label_d6fb369a-307f-449b-a188-56348c6f1760_Application">
    <vt:lpwstr>Microsoft Azure Information Protection</vt:lpwstr>
  </property>
  <property fmtid="{D5CDD505-2E9C-101B-9397-08002B2CF9AE}" pid="16" name="MSIP_Label_d6fb369a-307f-449b-a188-56348c6f1760_ActionId">
    <vt:lpwstr>c911468f-c8d5-46a9-9e62-c26c7d707a54</vt:lpwstr>
  </property>
  <property fmtid="{D5CDD505-2E9C-101B-9397-08002B2CF9AE}" pid="17" name="MSIP_Label_d6fb369a-307f-449b-a188-56348c6f1760_Parent">
    <vt:lpwstr>9052753f-f27f-4308-b0ca-90b591d58f16</vt:lpwstr>
  </property>
  <property fmtid="{D5CDD505-2E9C-101B-9397-08002B2CF9AE}" pid="18" name="MSIP_Label_d6fb369a-307f-449b-a188-56348c6f1760_Extended_MSFT_Method">
    <vt:lpwstr>Manual</vt:lpwstr>
  </property>
  <property fmtid="{D5CDD505-2E9C-101B-9397-08002B2CF9AE}" pid="19" name="Sensitivity">
    <vt:lpwstr>SB Serco Business</vt:lpwstr>
  </property>
  <property fmtid="{D5CDD505-2E9C-101B-9397-08002B2CF9AE}" pid="20" name="ContentTypeId">
    <vt:lpwstr>0x010100DEECACC340F3794EB39D0ACE529A92EB</vt:lpwstr>
  </property>
</Properties>
</file>